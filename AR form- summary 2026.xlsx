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iede\Desktop\"/>
    </mc:Choice>
  </mc:AlternateContent>
  <xr:revisionPtr revIDLastSave="0" documentId="8_{3E761126-F9AF-43B4-B641-5A608DD11588}" xr6:coauthVersionLast="47" xr6:coauthVersionMax="47" xr10:uidLastSave="{00000000-0000-0000-0000-000000000000}"/>
  <bookViews>
    <workbookView xWindow="-110" yWindow="-110" windowWidth="38620" windowHeight="21100" xr2:uid="{864BFF1A-4A85-4605-847C-7B0B3D1B7C88}"/>
  </bookViews>
  <sheets>
    <sheet name="Summary 2026 (2)" sheetId="2" r:id="rId1"/>
  </sheets>
  <definedNames>
    <definedName name="_xlnm._FilterDatabase" localSheetId="0" hidden="1">'Summary 2026 (2)'!$A$4:$P$36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H5" i="2"/>
  <c r="P5" i="2"/>
  <c r="E6" i="2"/>
  <c r="H6" i="2"/>
  <c r="P6" i="2"/>
  <c r="E7" i="2"/>
  <c r="H7" i="2"/>
  <c r="P7" i="2"/>
  <c r="E8" i="2"/>
  <c r="H8" i="2"/>
  <c r="P8" i="2"/>
  <c r="E9" i="2"/>
  <c r="H9" i="2"/>
  <c r="P9" i="2"/>
  <c r="E10" i="2"/>
  <c r="H10" i="2"/>
  <c r="E11" i="2"/>
  <c r="H11" i="2"/>
  <c r="E12" i="2"/>
  <c r="H12" i="2"/>
  <c r="E13" i="2"/>
  <c r="H13" i="2"/>
  <c r="E14" i="2"/>
  <c r="H14" i="2"/>
  <c r="E15" i="2"/>
  <c r="H15" i="2"/>
  <c r="E16" i="2"/>
  <c r="H16" i="2"/>
  <c r="E17" i="2"/>
  <c r="H17" i="2"/>
  <c r="E18" i="2"/>
  <c r="H18" i="2"/>
  <c r="E19" i="2"/>
  <c r="H19" i="2"/>
  <c r="E20" i="2"/>
  <c r="H20" i="2"/>
  <c r="E21" i="2"/>
  <c r="H21" i="2"/>
  <c r="E22" i="2"/>
  <c r="H22" i="2"/>
  <c r="E23" i="2"/>
  <c r="H23" i="2"/>
  <c r="E24" i="2"/>
  <c r="H24" i="2"/>
  <c r="P24" i="2"/>
  <c r="E25" i="2"/>
  <c r="H25" i="2"/>
  <c r="P25" i="2"/>
  <c r="E26" i="2"/>
  <c r="H26" i="2"/>
  <c r="P26" i="2"/>
  <c r="E27" i="2"/>
  <c r="H27" i="2"/>
  <c r="P27" i="2"/>
  <c r="E28" i="2"/>
  <c r="H28" i="2"/>
  <c r="P28" i="2"/>
  <c r="E29" i="2"/>
  <c r="H29" i="2"/>
  <c r="P29" i="2"/>
  <c r="E30" i="2"/>
  <c r="H30" i="2"/>
  <c r="P30" i="2"/>
  <c r="E31" i="2"/>
  <c r="H31" i="2"/>
  <c r="P31" i="2"/>
  <c r="E32" i="2"/>
  <c r="H32" i="2"/>
  <c r="P32" i="2"/>
  <c r="E33" i="2"/>
  <c r="H33" i="2"/>
  <c r="P33" i="2"/>
  <c r="E34" i="2"/>
  <c r="H34" i="2"/>
  <c r="P34" i="2"/>
  <c r="E35" i="2"/>
  <c r="H35" i="2"/>
  <c r="P35" i="2"/>
  <c r="E36" i="2"/>
  <c r="H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Joanne Shu</author>
  </authors>
  <commentList>
    <comment ref="N4" authorId="0" shapeId="0" xr:uid="{A34D340C-EF22-4D88-93F9-045DF10131F5}">
      <text>
        <r>
          <rPr>
            <b/>
            <sz val="9"/>
            <color indexed="81"/>
            <rFont val="Tahoma"/>
            <family val="2"/>
          </rPr>
          <t>Joanne Shu:</t>
        </r>
        <r>
          <rPr>
            <sz val="9"/>
            <color indexed="81"/>
            <rFont val="Tahoma"/>
            <family val="2"/>
          </rPr>
          <t xml:space="preserve">
all calendar days</t>
        </r>
      </text>
    </comment>
    <comment ref="O23" authorId="0" shapeId="0" xr:uid="{23463AF7-AD73-4251-8EDC-D90E0D6A58E4}">
      <text>
        <r>
          <rPr>
            <b/>
            <sz val="9"/>
            <color indexed="81"/>
            <rFont val="Tahoma"/>
            <family val="2"/>
          </rPr>
          <t>Joanne Shu:</t>
        </r>
        <r>
          <rPr>
            <sz val="9"/>
            <color indexed="81"/>
            <rFont val="Tahoma"/>
            <family val="2"/>
          </rPr>
          <t xml:space="preserve">
9 unpaid</t>
        </r>
      </text>
    </comment>
  </commentList>
</comments>
</file>

<file path=xl/sharedStrings.xml><?xml version="1.0" encoding="utf-8"?>
<sst xmlns="http://schemas.openxmlformats.org/spreadsheetml/2006/main" count="62" uniqueCount="52">
  <si>
    <t>Wendy Liu</t>
  </si>
  <si>
    <t>Grace Peng</t>
  </si>
  <si>
    <t>Miki Choi</t>
  </si>
  <si>
    <t>Sherri Zhou</t>
  </si>
  <si>
    <t>Jessie Deng</t>
  </si>
  <si>
    <t>Lisa Wang</t>
  </si>
  <si>
    <t>Joanne Shu</t>
  </si>
  <si>
    <t>Patrick Cruz</t>
  </si>
  <si>
    <t>Betty Si</t>
  </si>
  <si>
    <t>Marie Gao</t>
  </si>
  <si>
    <t>Arabella Liu</t>
  </si>
  <si>
    <t>Rosie Li</t>
  </si>
  <si>
    <t>53M</t>
  </si>
  <si>
    <t>Michael Li</t>
  </si>
  <si>
    <t>Olivia Lin</t>
  </si>
  <si>
    <t>Hang Qi</t>
  </si>
  <si>
    <t>Minghsun Shen</t>
  </si>
  <si>
    <t>Jesus Baez</t>
  </si>
  <si>
    <t>Gary Chiao</t>
  </si>
  <si>
    <t>Grace Guo</t>
  </si>
  <si>
    <t>Nicholas Wong</t>
  </si>
  <si>
    <t>Ying Chen</t>
  </si>
  <si>
    <t>James Liu</t>
  </si>
  <si>
    <t>Rixi Feng</t>
  </si>
  <si>
    <t>06</t>
  </si>
  <si>
    <t>Joseph Roy Bwrede</t>
  </si>
  <si>
    <t>Lin Lu (Eileen)</t>
  </si>
  <si>
    <t>Jacklynn Chuong</t>
  </si>
  <si>
    <t>Ines De Luz Ip</t>
  </si>
  <si>
    <t>03</t>
  </si>
  <si>
    <t>Jorge A Francisco</t>
  </si>
  <si>
    <t>Peter Khaov</t>
  </si>
  <si>
    <t>02</t>
  </si>
  <si>
    <t>Wilfredo Blanco</t>
  </si>
  <si>
    <t>Edgar Zuniga</t>
  </si>
  <si>
    <t>Lolly Hy</t>
  </si>
  <si>
    <t>SS</t>
  </si>
  <si>
    <t>Used</t>
  </si>
  <si>
    <t>Entitled</t>
  </si>
  <si>
    <t>Balance</t>
  </si>
  <si>
    <t>Current Year</t>
  </si>
  <si>
    <t>Total</t>
  </si>
  <si>
    <t>Unpaid/Special Leave</t>
  </si>
  <si>
    <t>Paid Maternity/ Paternity Leave (all calendar days)</t>
  </si>
  <si>
    <t>Paid Jury Duty Leave Days</t>
  </si>
  <si>
    <t>Paid Personal
Leave Days</t>
  </si>
  <si>
    <t>Paid Sick Leave Days</t>
  </si>
  <si>
    <t>Paid Vacation Days</t>
  </si>
  <si>
    <t>Employee #</t>
  </si>
  <si>
    <t>Employee Name</t>
  </si>
  <si>
    <t>Updated:</t>
  </si>
  <si>
    <t>Employee Leave Summary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</si>
</sst>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#,##0.0"/>
    <numFmt numFmtId="166" formatCode="_(* #,##0.0_);_(* \(#,##0.0\);_(* &quot;-&quot;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166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3" fontId="2" fillId="2" borderId="1" xfId="0" quotePrefix="1" applyNumberFormat="1" applyFont="1" applyFill="1" applyBorder="1" applyAlignment="1">
      <alignment horizontal="center"/>
    </xf>
    <xf numFmtId="1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justify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justify"/>
    </xf>
    <xf numFmtId="0" fontId="1" fillId="2" borderId="1" xfId="0" applyFont="1" applyFill="1" applyBorder="1" applyAlignment="1">
      <alignment horizontal="center" vertical="justify"/>
    </xf>
    <xf numFmtId="164" fontId="4" fillId="3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63500</xdr:colOff>
      <xdr:row>16</xdr:row>
      <xdr:rowOff>139700</xdr:rowOff>
    </xdr:from>
    <xdr:to>
      <xdr:col>23</xdr:col>
      <xdr:colOff>298450</xdr:colOff>
      <xdr:row>24</xdr:row>
      <xdr:rowOff>114300</xdr:rowOff>
    </xdr:to>
    <xdr:sp macro="[0]!ProcessLeave" textlink="">
      <xdr:nvSpPr>
        <xdr:cNvPr id="2" name="Rectangle 1">
          <a:extLst>
            <a:ext uri="{FF2B5EF4-FFF2-40B4-BE49-F238E27FC236}">
              <a16:creationId xmlns:a16="http://schemas.microsoft.com/office/drawing/2014/main" id="{DB7576D2-CFBC-CD36-0220-FA0B8C3ED083}"/>
            </a:ext>
          </a:extLst>
        </xdr:cNvPr>
        <xdr:cNvSpPr/>
      </xdr:nvSpPr>
      <xdr:spPr>
        <a:xfrm>
          <a:off x="11537950" y="4013200"/>
          <a:ext cx="3282950" cy="1587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09EF-0C63-4954-B8AF-715279BAEEC7}">
  <sheetPr codeName="Sheet1">
    <pageSetUpPr fitToPage="1"/>
  </sheetPr>
  <dimension ref="A1:Q37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Z25" sqref="Z25"/>
    </sheetView>
  </sheetViews>
  <sheetFormatPr defaultRowHeight="14.5" x14ac:dyDescent="0.35"/>
  <cols>
    <col min="1" max="1" width="17" customWidth="1"/>
    <col min="2" max="2" width="10.26953125" customWidth="1"/>
    <col min="3" max="3" width="8.08984375" customWidth="1"/>
    <col min="4" max="4" width="6.81640625" customWidth="1"/>
    <col min="5" max="5" width="9.08984375" bestFit="1" customWidth="1"/>
    <col min="6" max="6" width="8.6328125" customWidth="1"/>
    <col min="7" max="7" width="6.26953125" customWidth="1"/>
    <col min="9" max="9" width="8" customWidth="1"/>
    <col min="10" max="10" width="6.6328125" customWidth="1"/>
    <col min="11" max="11" width="7.81640625" customWidth="1"/>
    <col min="12" max="12" width="6.08984375" customWidth="1"/>
    <col min="13" max="13" width="8.36328125" customWidth="1"/>
    <col min="14" max="14" width="7.36328125" customWidth="1"/>
    <col min="15" max="15" width="8.81640625" customWidth="1"/>
    <col min="16" max="16" width="7.26953125" customWidth="1"/>
    <col min="17" max="17" width="20.26953125" customWidth="1"/>
  </cols>
  <sheetData>
    <row r="1" spans="1:16" ht="23.5" x14ac:dyDescent="0.55000000000000004">
      <c r="A1" s="19" t="s">
        <v>51</v>
      </c>
      <c r="C1" s="17"/>
      <c r="D1" s="16"/>
      <c r="E1" s="17"/>
      <c r="F1" s="18" t="s">
        <v>50</v>
      </c>
      <c r="G1" s="22">
        <v>46055</v>
      </c>
      <c r="H1" s="22"/>
      <c r="I1" s="23"/>
      <c r="J1" s="23"/>
      <c r="M1" s="17"/>
      <c r="N1" s="16"/>
      <c r="O1" s="16"/>
      <c r="P1" s="16"/>
    </row>
    <row r="2" spans="1:16" ht="16" x14ac:dyDescent="0.35">
      <c r="A2" s="17"/>
      <c r="C2" s="17"/>
      <c r="D2" s="16"/>
      <c r="E2" s="17"/>
      <c r="F2" s="17"/>
      <c r="G2" s="17"/>
      <c r="H2" s="16"/>
      <c r="I2" s="17"/>
      <c r="J2" s="16"/>
      <c r="K2" s="17"/>
      <c r="L2" s="16"/>
      <c r="M2" s="17"/>
      <c r="N2" s="16"/>
      <c r="O2" s="16"/>
      <c r="P2" s="16"/>
    </row>
    <row r="3" spans="1:16" ht="57.75" customHeight="1" x14ac:dyDescent="0.35">
      <c r="A3" s="24" t="s">
        <v>49</v>
      </c>
      <c r="B3" s="25" t="s">
        <v>48</v>
      </c>
      <c r="C3" s="24" t="s">
        <v>47</v>
      </c>
      <c r="D3" s="24"/>
      <c r="E3" s="24"/>
      <c r="F3" s="24" t="s">
        <v>46</v>
      </c>
      <c r="G3" s="24"/>
      <c r="H3" s="24"/>
      <c r="I3" s="26" t="s">
        <v>45</v>
      </c>
      <c r="J3" s="20"/>
      <c r="K3" s="20" t="s">
        <v>44</v>
      </c>
      <c r="L3" s="20"/>
      <c r="M3" s="21" t="s">
        <v>43</v>
      </c>
      <c r="N3" s="21"/>
      <c r="O3" s="15" t="s">
        <v>42</v>
      </c>
      <c r="P3" s="14" t="s">
        <v>41</v>
      </c>
    </row>
    <row r="4" spans="1:16" ht="32" x14ac:dyDescent="0.35">
      <c r="A4" s="24"/>
      <c r="B4" s="25"/>
      <c r="C4" s="12" t="s">
        <v>38</v>
      </c>
      <c r="D4" s="12" t="s">
        <v>37</v>
      </c>
      <c r="E4" s="13" t="s">
        <v>39</v>
      </c>
      <c r="F4" s="13" t="s">
        <v>40</v>
      </c>
      <c r="G4" s="13" t="s">
        <v>37</v>
      </c>
      <c r="H4" s="12" t="s">
        <v>39</v>
      </c>
      <c r="I4" s="12" t="s">
        <v>38</v>
      </c>
      <c r="J4" s="12" t="s">
        <v>37</v>
      </c>
      <c r="K4" s="12" t="s">
        <v>38</v>
      </c>
      <c r="L4" s="12" t="s">
        <v>37</v>
      </c>
      <c r="M4" s="12" t="s">
        <v>38</v>
      </c>
      <c r="N4" s="12" t="s">
        <v>37</v>
      </c>
      <c r="O4" s="12" t="s">
        <v>37</v>
      </c>
      <c r="P4" s="12" t="s">
        <v>37</v>
      </c>
    </row>
    <row r="5" spans="1:16" ht="16" x14ac:dyDescent="0.4">
      <c r="A5" s="9" t="s">
        <v>6</v>
      </c>
      <c r="B5" s="8">
        <v>4</v>
      </c>
      <c r="C5" s="7">
        <v>18</v>
      </c>
      <c r="D5" s="6"/>
      <c r="E5" s="5">
        <f t="shared" ref="E5:E36" si="0">C5-D5</f>
        <v>18</v>
      </c>
      <c r="F5" s="3">
        <v>5</v>
      </c>
      <c r="G5" s="3">
        <v>0.5</v>
      </c>
      <c r="H5" s="4">
        <f t="shared" ref="H5:H36" si="1">F5-G5</f>
        <v>4.5</v>
      </c>
      <c r="I5" s="3">
        <v>3</v>
      </c>
      <c r="J5" s="2">
        <v>2</v>
      </c>
      <c r="K5" s="3">
        <v>5</v>
      </c>
      <c r="L5" s="2"/>
      <c r="M5" s="3"/>
      <c r="N5" s="2"/>
      <c r="O5" s="2"/>
      <c r="P5" s="2">
        <f>SUM(D5+G5+J5+L5+N5+O5)</f>
        <v>2.5</v>
      </c>
    </row>
    <row r="6" spans="1:16" ht="16" x14ac:dyDescent="0.4">
      <c r="A6" s="9" t="s">
        <v>8</v>
      </c>
      <c r="B6" s="8">
        <v>11</v>
      </c>
      <c r="C6" s="7">
        <v>18</v>
      </c>
      <c r="D6" s="6">
        <v>12.5</v>
      </c>
      <c r="E6" s="5">
        <f t="shared" si="0"/>
        <v>5.5</v>
      </c>
      <c r="F6" s="3">
        <v>5</v>
      </c>
      <c r="G6" s="3">
        <v>0.5</v>
      </c>
      <c r="H6" s="4">
        <f t="shared" si="1"/>
        <v>4.5</v>
      </c>
      <c r="I6" s="3">
        <v>3</v>
      </c>
      <c r="J6" s="2">
        <v>1</v>
      </c>
      <c r="K6" s="3">
        <v>5</v>
      </c>
      <c r="L6" s="2"/>
      <c r="M6" s="3"/>
      <c r="N6" s="2"/>
      <c r="O6" s="2"/>
      <c r="P6" s="2">
        <f>SUM(D6+G6+J6+L6+N6+O6)</f>
        <v>14</v>
      </c>
    </row>
    <row r="7" spans="1:16" ht="16" x14ac:dyDescent="0.4">
      <c r="A7" s="9" t="s">
        <v>7</v>
      </c>
      <c r="B7" s="8">
        <v>12</v>
      </c>
      <c r="C7" s="7">
        <v>18</v>
      </c>
      <c r="D7" s="6"/>
      <c r="E7" s="5">
        <f t="shared" si="0"/>
        <v>18</v>
      </c>
      <c r="F7" s="3">
        <v>5</v>
      </c>
      <c r="G7" s="3"/>
      <c r="H7" s="4">
        <f t="shared" si="1"/>
        <v>5</v>
      </c>
      <c r="I7" s="3">
        <v>3</v>
      </c>
      <c r="J7" s="2"/>
      <c r="K7" s="3">
        <v>5</v>
      </c>
      <c r="L7" s="2"/>
      <c r="M7" s="3"/>
      <c r="N7" s="2"/>
      <c r="O7" s="2"/>
      <c r="P7" s="2">
        <f>SUM(D7+G7+J7+L7+N7+O7)</f>
        <v>0</v>
      </c>
    </row>
    <row r="8" spans="1:16" ht="16" x14ac:dyDescent="0.4">
      <c r="A8" s="9" t="s">
        <v>3</v>
      </c>
      <c r="B8" s="8" t="s">
        <v>36</v>
      </c>
      <c r="C8" s="7">
        <v>18</v>
      </c>
      <c r="D8" s="6"/>
      <c r="E8" s="5">
        <f t="shared" si="0"/>
        <v>18</v>
      </c>
      <c r="F8" s="3">
        <v>5</v>
      </c>
      <c r="G8" s="3"/>
      <c r="H8" s="4">
        <f t="shared" si="1"/>
        <v>5</v>
      </c>
      <c r="I8" s="3">
        <v>3</v>
      </c>
      <c r="J8" s="2"/>
      <c r="K8" s="3">
        <v>5</v>
      </c>
      <c r="L8" s="2"/>
      <c r="M8" s="3"/>
      <c r="N8" s="2"/>
      <c r="O8" s="2"/>
      <c r="P8" s="2">
        <f>SUM(D8+G8+J8+L8+N8+O8)</f>
        <v>0</v>
      </c>
    </row>
    <row r="9" spans="1:16" ht="16" x14ac:dyDescent="0.4">
      <c r="A9" s="9" t="s">
        <v>5</v>
      </c>
      <c r="B9" s="8">
        <v>14</v>
      </c>
      <c r="C9" s="7">
        <v>18</v>
      </c>
      <c r="D9" s="6">
        <v>4</v>
      </c>
      <c r="E9" s="5">
        <f t="shared" si="0"/>
        <v>14</v>
      </c>
      <c r="F9" s="3">
        <v>5</v>
      </c>
      <c r="G9" s="3">
        <v>1</v>
      </c>
      <c r="H9" s="4">
        <f t="shared" si="1"/>
        <v>4</v>
      </c>
      <c r="I9" s="3">
        <v>3</v>
      </c>
      <c r="J9" s="2"/>
      <c r="K9" s="3">
        <v>5</v>
      </c>
      <c r="L9" s="2"/>
      <c r="M9" s="3"/>
      <c r="N9" s="2"/>
      <c r="O9" s="2"/>
      <c r="P9" s="2">
        <f>SUM(D9+G9+J9+L9+N9+O9)</f>
        <v>5</v>
      </c>
    </row>
    <row r="10" spans="1:16" ht="16" x14ac:dyDescent="0.4">
      <c r="A10" s="9" t="s">
        <v>35</v>
      </c>
      <c r="B10" s="8">
        <v>16</v>
      </c>
      <c r="C10" s="7">
        <v>16</v>
      </c>
      <c r="D10" s="6">
        <v>0.5</v>
      </c>
      <c r="E10" s="5">
        <f t="shared" si="0"/>
        <v>15.5</v>
      </c>
      <c r="F10" s="3">
        <v>5</v>
      </c>
      <c r="G10" s="3"/>
      <c r="H10" s="4">
        <f t="shared" si="1"/>
        <v>5</v>
      </c>
      <c r="I10" s="3">
        <v>3</v>
      </c>
      <c r="J10" s="2">
        <v>3</v>
      </c>
      <c r="K10" s="3">
        <v>5</v>
      </c>
      <c r="L10" s="2"/>
      <c r="M10" s="3"/>
      <c r="N10" s="2"/>
      <c r="O10" s="2"/>
      <c r="P10" s="2"/>
    </row>
    <row r="11" spans="1:16" ht="16" x14ac:dyDescent="0.4">
      <c r="A11" s="9" t="s">
        <v>34</v>
      </c>
      <c r="B11" s="8">
        <v>17</v>
      </c>
      <c r="C11" s="7">
        <v>16</v>
      </c>
      <c r="D11" s="6"/>
      <c r="E11" s="5">
        <f t="shared" si="0"/>
        <v>16</v>
      </c>
      <c r="F11" s="3">
        <v>5</v>
      </c>
      <c r="G11" s="3"/>
      <c r="H11" s="4">
        <f t="shared" si="1"/>
        <v>5</v>
      </c>
      <c r="I11" s="3">
        <v>3</v>
      </c>
      <c r="J11" s="2">
        <v>1</v>
      </c>
      <c r="K11" s="3">
        <v>5</v>
      </c>
      <c r="L11" s="2"/>
      <c r="M11" s="3"/>
      <c r="N11" s="2"/>
      <c r="O11" s="2"/>
      <c r="P11" s="2"/>
    </row>
    <row r="12" spans="1:16" ht="16" x14ac:dyDescent="0.4">
      <c r="A12" s="9" t="s">
        <v>33</v>
      </c>
      <c r="B12" s="10" t="s">
        <v>32</v>
      </c>
      <c r="C12" s="7">
        <v>16</v>
      </c>
      <c r="D12" s="6"/>
      <c r="E12" s="5">
        <f t="shared" si="0"/>
        <v>16</v>
      </c>
      <c r="F12" s="3">
        <v>5</v>
      </c>
      <c r="G12" s="3"/>
      <c r="H12" s="4">
        <f t="shared" si="1"/>
        <v>5</v>
      </c>
      <c r="I12" s="3">
        <v>3</v>
      </c>
      <c r="J12" s="2"/>
      <c r="K12" s="3">
        <v>5</v>
      </c>
      <c r="L12" s="2"/>
      <c r="M12" s="3"/>
      <c r="N12" s="2"/>
      <c r="O12" s="2"/>
      <c r="P12" s="2"/>
    </row>
    <row r="13" spans="1:16" ht="16" x14ac:dyDescent="0.4">
      <c r="A13" s="9" t="s">
        <v>4</v>
      </c>
      <c r="B13" s="8">
        <v>29</v>
      </c>
      <c r="C13" s="7">
        <v>16</v>
      </c>
      <c r="D13" s="6">
        <v>2.5</v>
      </c>
      <c r="E13" s="5">
        <f t="shared" si="0"/>
        <v>13.5</v>
      </c>
      <c r="F13" s="3">
        <v>5</v>
      </c>
      <c r="G13" s="3"/>
      <c r="H13" s="4">
        <f t="shared" si="1"/>
        <v>5</v>
      </c>
      <c r="I13" s="3">
        <v>3</v>
      </c>
      <c r="J13" s="2">
        <v>3</v>
      </c>
      <c r="K13" s="3">
        <v>5</v>
      </c>
      <c r="L13" s="2"/>
      <c r="M13" s="3"/>
      <c r="N13" s="2"/>
      <c r="O13" s="2"/>
      <c r="P13" s="2"/>
    </row>
    <row r="14" spans="1:16" ht="16" x14ac:dyDescent="0.4">
      <c r="A14" s="9" t="s">
        <v>31</v>
      </c>
      <c r="B14" s="8">
        <v>28</v>
      </c>
      <c r="C14" s="7">
        <v>16</v>
      </c>
      <c r="D14" s="6"/>
      <c r="E14" s="5">
        <f t="shared" si="0"/>
        <v>16</v>
      </c>
      <c r="F14" s="3">
        <v>5</v>
      </c>
      <c r="G14" s="3"/>
      <c r="H14" s="4">
        <f t="shared" si="1"/>
        <v>5</v>
      </c>
      <c r="I14" s="3">
        <v>3</v>
      </c>
      <c r="J14" s="2"/>
      <c r="K14" s="3">
        <v>5</v>
      </c>
      <c r="L14" s="2"/>
      <c r="M14" s="3"/>
      <c r="N14" s="2"/>
      <c r="O14" s="2"/>
      <c r="P14" s="2"/>
    </row>
    <row r="15" spans="1:16" ht="16" x14ac:dyDescent="0.4">
      <c r="A15" s="9" t="s">
        <v>2</v>
      </c>
      <c r="B15" s="8">
        <v>30</v>
      </c>
      <c r="C15" s="7">
        <v>16</v>
      </c>
      <c r="D15" s="6"/>
      <c r="E15" s="5">
        <f t="shared" si="0"/>
        <v>16</v>
      </c>
      <c r="F15" s="3">
        <v>5</v>
      </c>
      <c r="G15" s="3"/>
      <c r="H15" s="4">
        <f t="shared" si="1"/>
        <v>5</v>
      </c>
      <c r="I15" s="3">
        <v>3</v>
      </c>
      <c r="J15" s="2"/>
      <c r="K15" s="3">
        <v>5</v>
      </c>
      <c r="L15" s="2"/>
      <c r="M15" s="3"/>
      <c r="N15" s="2"/>
      <c r="O15" s="2"/>
      <c r="P15" s="2"/>
    </row>
    <row r="16" spans="1:16" ht="16" hidden="1" x14ac:dyDescent="0.4">
      <c r="A16" s="9" t="s">
        <v>30</v>
      </c>
      <c r="B16" s="10" t="s">
        <v>29</v>
      </c>
      <c r="C16" s="7">
        <v>14</v>
      </c>
      <c r="D16" s="6"/>
      <c r="E16" s="5">
        <f t="shared" si="0"/>
        <v>14</v>
      </c>
      <c r="F16" s="3">
        <v>5</v>
      </c>
      <c r="G16" s="3"/>
      <c r="H16" s="4">
        <f t="shared" si="1"/>
        <v>5</v>
      </c>
      <c r="I16" s="3">
        <v>3</v>
      </c>
      <c r="J16" s="2"/>
      <c r="K16" s="3">
        <v>5</v>
      </c>
      <c r="L16" s="2"/>
      <c r="M16" s="3"/>
      <c r="N16" s="2"/>
      <c r="O16" s="2"/>
      <c r="P16" s="2"/>
    </row>
    <row r="17" spans="1:17" ht="16" x14ac:dyDescent="0.4">
      <c r="A17" s="9" t="s">
        <v>28</v>
      </c>
      <c r="B17" s="8">
        <v>36</v>
      </c>
      <c r="C17" s="7">
        <v>16</v>
      </c>
      <c r="D17" s="6">
        <v>7</v>
      </c>
      <c r="E17" s="5">
        <f t="shared" si="0"/>
        <v>9</v>
      </c>
      <c r="F17" s="3">
        <v>5</v>
      </c>
      <c r="G17" s="3"/>
      <c r="H17" s="4">
        <f t="shared" si="1"/>
        <v>5</v>
      </c>
      <c r="I17" s="3">
        <v>3</v>
      </c>
      <c r="J17" s="2">
        <v>3</v>
      </c>
      <c r="K17" s="3">
        <v>5</v>
      </c>
      <c r="L17" s="2"/>
      <c r="M17" s="3"/>
      <c r="N17" s="2"/>
      <c r="O17" s="2"/>
      <c r="P17" s="2"/>
    </row>
    <row r="18" spans="1:17" ht="15" customHeight="1" x14ac:dyDescent="0.4">
      <c r="A18" s="9" t="s">
        <v>27</v>
      </c>
      <c r="B18" s="8">
        <v>37</v>
      </c>
      <c r="C18" s="7">
        <v>16</v>
      </c>
      <c r="D18" s="6"/>
      <c r="E18" s="5">
        <f t="shared" si="0"/>
        <v>16</v>
      </c>
      <c r="F18" s="3">
        <v>5</v>
      </c>
      <c r="G18" s="3">
        <v>1</v>
      </c>
      <c r="H18" s="4">
        <f t="shared" si="1"/>
        <v>4</v>
      </c>
      <c r="I18" s="3">
        <v>3</v>
      </c>
      <c r="J18" s="2">
        <v>3</v>
      </c>
      <c r="K18" s="3">
        <v>5</v>
      </c>
      <c r="L18" s="2"/>
      <c r="M18" s="3"/>
      <c r="N18" s="2"/>
      <c r="O18" s="2"/>
      <c r="P18" s="2"/>
      <c r="Q18" s="11"/>
    </row>
    <row r="19" spans="1:17" ht="16" x14ac:dyDescent="0.4">
      <c r="A19" s="9" t="s">
        <v>26</v>
      </c>
      <c r="B19" s="8">
        <v>42</v>
      </c>
      <c r="C19" s="7">
        <v>14</v>
      </c>
      <c r="D19" s="6"/>
      <c r="E19" s="5">
        <f t="shared" si="0"/>
        <v>14</v>
      </c>
      <c r="F19" s="3">
        <v>5</v>
      </c>
      <c r="G19" s="3">
        <v>1.5</v>
      </c>
      <c r="H19" s="4">
        <f t="shared" si="1"/>
        <v>3.5</v>
      </c>
      <c r="I19" s="3">
        <v>3</v>
      </c>
      <c r="J19" s="2"/>
      <c r="K19" s="3">
        <v>5</v>
      </c>
      <c r="L19" s="2"/>
      <c r="M19" s="3"/>
      <c r="N19" s="2"/>
      <c r="O19" s="2"/>
      <c r="P19" s="2"/>
    </row>
    <row r="20" spans="1:17" ht="16" x14ac:dyDescent="0.4">
      <c r="A20" s="9" t="s">
        <v>1</v>
      </c>
      <c r="B20" s="8">
        <v>43</v>
      </c>
      <c r="C20" s="7">
        <v>14</v>
      </c>
      <c r="D20" s="6"/>
      <c r="E20" s="5">
        <f t="shared" si="0"/>
        <v>14</v>
      </c>
      <c r="F20" s="3">
        <v>5</v>
      </c>
      <c r="G20" s="3">
        <v>0.5</v>
      </c>
      <c r="H20" s="4">
        <f t="shared" si="1"/>
        <v>4.5</v>
      </c>
      <c r="I20" s="3">
        <v>3</v>
      </c>
      <c r="J20" s="2"/>
      <c r="K20" s="3">
        <v>5</v>
      </c>
      <c r="L20" s="2"/>
      <c r="M20" s="3"/>
      <c r="N20" s="2"/>
      <c r="O20" s="2"/>
      <c r="P20" s="2"/>
    </row>
    <row r="21" spans="1:17" ht="16" x14ac:dyDescent="0.4">
      <c r="A21" s="9" t="s">
        <v>25</v>
      </c>
      <c r="B21" s="10" t="s">
        <v>24</v>
      </c>
      <c r="C21" s="7">
        <v>14</v>
      </c>
      <c r="D21" s="6"/>
      <c r="E21" s="5">
        <f t="shared" si="0"/>
        <v>14</v>
      </c>
      <c r="F21" s="3">
        <v>5</v>
      </c>
      <c r="G21" s="3"/>
      <c r="H21" s="4">
        <f t="shared" si="1"/>
        <v>5</v>
      </c>
      <c r="I21" s="3">
        <v>3</v>
      </c>
      <c r="J21" s="2">
        <v>1</v>
      </c>
      <c r="K21" s="3">
        <v>5</v>
      </c>
      <c r="L21" s="2"/>
      <c r="M21" s="3"/>
      <c r="N21" s="2"/>
      <c r="O21" s="2"/>
      <c r="P21" s="2"/>
    </row>
    <row r="22" spans="1:17" ht="16" x14ac:dyDescent="0.4">
      <c r="A22" s="9" t="s">
        <v>0</v>
      </c>
      <c r="B22" s="8">
        <v>41</v>
      </c>
      <c r="C22" s="7">
        <v>16</v>
      </c>
      <c r="D22" s="6"/>
      <c r="E22" s="5">
        <f t="shared" si="0"/>
        <v>16</v>
      </c>
      <c r="F22" s="3">
        <v>5</v>
      </c>
      <c r="G22" s="3">
        <v>1</v>
      </c>
      <c r="H22" s="4">
        <f t="shared" si="1"/>
        <v>4</v>
      </c>
      <c r="I22" s="3">
        <v>3</v>
      </c>
      <c r="J22" s="2"/>
      <c r="K22" s="3">
        <v>5</v>
      </c>
      <c r="L22" s="2"/>
      <c r="M22" s="3"/>
      <c r="N22" s="2"/>
      <c r="O22" s="2"/>
      <c r="P22" s="2"/>
    </row>
    <row r="23" spans="1:17" ht="16" x14ac:dyDescent="0.4">
      <c r="A23" s="9" t="s">
        <v>23</v>
      </c>
      <c r="B23" s="8">
        <v>46</v>
      </c>
      <c r="C23" s="7">
        <v>14</v>
      </c>
      <c r="D23" s="6"/>
      <c r="E23" s="5">
        <f t="shared" si="0"/>
        <v>14</v>
      </c>
      <c r="F23" s="3">
        <v>5</v>
      </c>
      <c r="G23" s="3"/>
      <c r="H23" s="4">
        <f t="shared" si="1"/>
        <v>5</v>
      </c>
      <c r="I23" s="3">
        <v>3</v>
      </c>
      <c r="J23" s="2"/>
      <c r="K23" s="3">
        <v>5</v>
      </c>
      <c r="L23" s="2"/>
      <c r="M23" s="3"/>
      <c r="N23" s="2"/>
      <c r="O23" s="2"/>
      <c r="P23" s="2"/>
    </row>
    <row r="24" spans="1:17" ht="16" x14ac:dyDescent="0.4">
      <c r="A24" s="9" t="s">
        <v>22</v>
      </c>
      <c r="B24" s="8">
        <v>48</v>
      </c>
      <c r="C24" s="7">
        <v>10</v>
      </c>
      <c r="D24" s="6"/>
      <c r="E24" s="5">
        <f t="shared" si="0"/>
        <v>10</v>
      </c>
      <c r="F24" s="3">
        <v>5</v>
      </c>
      <c r="G24" s="3">
        <v>1</v>
      </c>
      <c r="H24" s="4">
        <f t="shared" si="1"/>
        <v>4</v>
      </c>
      <c r="I24" s="3">
        <v>3</v>
      </c>
      <c r="J24" s="2">
        <v>2</v>
      </c>
      <c r="K24" s="3">
        <v>5</v>
      </c>
      <c r="L24" s="2"/>
      <c r="M24" s="3"/>
      <c r="N24" s="2"/>
      <c r="O24" s="2"/>
      <c r="P24" s="2">
        <f t="shared" ref="P24:P35" si="2">SUM(D24+G24+J24+L24+N24+O24)</f>
        <v>3</v>
      </c>
    </row>
    <row r="25" spans="1:17" ht="16" x14ac:dyDescent="0.4">
      <c r="A25" s="9" t="s">
        <v>21</v>
      </c>
      <c r="B25" s="8">
        <v>49</v>
      </c>
      <c r="C25" s="7">
        <v>10</v>
      </c>
      <c r="D25" s="6"/>
      <c r="E25" s="5">
        <f t="shared" si="0"/>
        <v>10</v>
      </c>
      <c r="F25" s="3">
        <v>5</v>
      </c>
      <c r="G25" s="3"/>
      <c r="H25" s="4">
        <f t="shared" si="1"/>
        <v>5</v>
      </c>
      <c r="I25" s="3">
        <v>3</v>
      </c>
      <c r="J25" s="2">
        <v>0.5</v>
      </c>
      <c r="K25" s="3">
        <v>5</v>
      </c>
      <c r="L25" s="2"/>
      <c r="M25" s="3"/>
      <c r="N25" s="2"/>
      <c r="O25" s="2"/>
      <c r="P25" s="2">
        <f t="shared" si="2"/>
        <v>0.5</v>
      </c>
    </row>
    <row r="26" spans="1:17" ht="16" x14ac:dyDescent="0.4">
      <c r="A26" s="9" t="s">
        <v>20</v>
      </c>
      <c r="B26" s="8">
        <v>50</v>
      </c>
      <c r="C26" s="7">
        <v>10</v>
      </c>
      <c r="D26" s="6"/>
      <c r="E26" s="5">
        <f t="shared" si="0"/>
        <v>10</v>
      </c>
      <c r="F26" s="3">
        <v>5</v>
      </c>
      <c r="G26" s="3"/>
      <c r="H26" s="4">
        <f t="shared" si="1"/>
        <v>5</v>
      </c>
      <c r="I26" s="3">
        <v>3</v>
      </c>
      <c r="J26" s="2"/>
      <c r="K26" s="3">
        <v>5</v>
      </c>
      <c r="L26" s="2"/>
      <c r="M26" s="3"/>
      <c r="N26" s="2"/>
      <c r="O26" s="2"/>
      <c r="P26" s="2">
        <f t="shared" si="2"/>
        <v>0</v>
      </c>
    </row>
    <row r="27" spans="1:17" ht="16" x14ac:dyDescent="0.4">
      <c r="A27" s="9" t="s">
        <v>19</v>
      </c>
      <c r="B27" s="8">
        <v>51</v>
      </c>
      <c r="C27" s="7">
        <v>10</v>
      </c>
      <c r="D27" s="6"/>
      <c r="E27" s="5">
        <f t="shared" si="0"/>
        <v>10</v>
      </c>
      <c r="F27" s="3">
        <v>5</v>
      </c>
      <c r="G27" s="3">
        <v>1</v>
      </c>
      <c r="H27" s="4">
        <f t="shared" si="1"/>
        <v>4</v>
      </c>
      <c r="I27" s="3">
        <v>3</v>
      </c>
      <c r="J27" s="2">
        <v>2</v>
      </c>
      <c r="K27" s="3">
        <v>5</v>
      </c>
      <c r="L27" s="2"/>
      <c r="M27" s="3"/>
      <c r="N27" s="2"/>
      <c r="O27" s="2"/>
      <c r="P27" s="2">
        <f t="shared" si="2"/>
        <v>3</v>
      </c>
    </row>
    <row r="28" spans="1:17" ht="16" x14ac:dyDescent="0.4">
      <c r="A28" s="9" t="s">
        <v>18</v>
      </c>
      <c r="B28" s="8">
        <v>53</v>
      </c>
      <c r="C28" s="7">
        <v>10</v>
      </c>
      <c r="D28" s="6">
        <v>6</v>
      </c>
      <c r="E28" s="5">
        <f t="shared" si="0"/>
        <v>4</v>
      </c>
      <c r="F28" s="3">
        <v>5</v>
      </c>
      <c r="G28" s="3"/>
      <c r="H28" s="4">
        <f t="shared" si="1"/>
        <v>5</v>
      </c>
      <c r="I28" s="3">
        <v>3</v>
      </c>
      <c r="J28" s="2"/>
      <c r="K28" s="3">
        <v>5</v>
      </c>
      <c r="L28" s="2"/>
      <c r="M28" s="3"/>
      <c r="N28" s="2"/>
      <c r="O28" s="2"/>
      <c r="P28" s="2">
        <f t="shared" si="2"/>
        <v>6</v>
      </c>
    </row>
    <row r="29" spans="1:17" ht="16" x14ac:dyDescent="0.4">
      <c r="A29" s="9" t="s">
        <v>17</v>
      </c>
      <c r="B29" s="8">
        <v>55</v>
      </c>
      <c r="C29" s="7">
        <v>10</v>
      </c>
      <c r="D29" s="6"/>
      <c r="E29" s="5">
        <f t="shared" si="0"/>
        <v>10</v>
      </c>
      <c r="F29" s="3">
        <v>5</v>
      </c>
      <c r="G29" s="3"/>
      <c r="H29" s="4">
        <f t="shared" si="1"/>
        <v>5</v>
      </c>
      <c r="I29" s="3">
        <v>3</v>
      </c>
      <c r="J29" s="2"/>
      <c r="K29" s="3">
        <v>5</v>
      </c>
      <c r="L29" s="2"/>
      <c r="M29" s="3"/>
      <c r="N29" s="2"/>
      <c r="O29" s="2"/>
      <c r="P29" s="2">
        <f t="shared" si="2"/>
        <v>0</v>
      </c>
    </row>
    <row r="30" spans="1:17" ht="16" x14ac:dyDescent="0.4">
      <c r="A30" s="9" t="s">
        <v>16</v>
      </c>
      <c r="B30" s="8">
        <v>56</v>
      </c>
      <c r="C30" s="7">
        <v>10</v>
      </c>
      <c r="D30" s="6"/>
      <c r="E30" s="5">
        <f t="shared" si="0"/>
        <v>10</v>
      </c>
      <c r="F30" s="3">
        <v>5</v>
      </c>
      <c r="G30" s="3"/>
      <c r="H30" s="4">
        <f t="shared" si="1"/>
        <v>5</v>
      </c>
      <c r="I30" s="3">
        <v>3</v>
      </c>
      <c r="J30" s="2"/>
      <c r="K30" s="3">
        <v>5</v>
      </c>
      <c r="L30" s="2"/>
      <c r="M30" s="3"/>
      <c r="N30" s="2"/>
      <c r="O30" s="2"/>
      <c r="P30" s="2">
        <f t="shared" si="2"/>
        <v>0</v>
      </c>
    </row>
    <row r="31" spans="1:17" ht="16" x14ac:dyDescent="0.4">
      <c r="A31" s="9" t="s">
        <v>15</v>
      </c>
      <c r="B31" s="8">
        <v>57</v>
      </c>
      <c r="C31" s="7">
        <v>10</v>
      </c>
      <c r="D31" s="6"/>
      <c r="E31" s="5">
        <f t="shared" si="0"/>
        <v>10</v>
      </c>
      <c r="F31" s="3">
        <v>5</v>
      </c>
      <c r="G31" s="3">
        <v>1.5</v>
      </c>
      <c r="H31" s="4">
        <f t="shared" si="1"/>
        <v>3.5</v>
      </c>
      <c r="I31" s="3">
        <v>3</v>
      </c>
      <c r="J31" s="2">
        <v>3</v>
      </c>
      <c r="K31" s="3">
        <v>5</v>
      </c>
      <c r="L31" s="2"/>
      <c r="M31" s="3"/>
      <c r="N31" s="2"/>
      <c r="O31" s="2"/>
      <c r="P31" s="2">
        <f t="shared" si="2"/>
        <v>4.5</v>
      </c>
    </row>
    <row r="32" spans="1:17" ht="16" x14ac:dyDescent="0.4">
      <c r="A32" s="9" t="s">
        <v>14</v>
      </c>
      <c r="B32" s="8">
        <v>58</v>
      </c>
      <c r="C32" s="7">
        <v>10</v>
      </c>
      <c r="D32" s="6">
        <v>1</v>
      </c>
      <c r="E32" s="5">
        <f t="shared" si="0"/>
        <v>9</v>
      </c>
      <c r="F32" s="3">
        <v>5</v>
      </c>
      <c r="G32" s="3"/>
      <c r="H32" s="4">
        <f t="shared" si="1"/>
        <v>5</v>
      </c>
      <c r="I32" s="3">
        <v>3</v>
      </c>
      <c r="J32" s="2"/>
      <c r="K32" s="3">
        <v>5</v>
      </c>
      <c r="L32" s="2"/>
      <c r="M32" s="3"/>
      <c r="N32" s="2"/>
      <c r="O32" s="2"/>
      <c r="P32" s="2">
        <f t="shared" si="2"/>
        <v>1</v>
      </c>
    </row>
    <row r="33" spans="1:16" ht="16" hidden="1" x14ac:dyDescent="0.4">
      <c r="A33" s="9" t="s">
        <v>13</v>
      </c>
      <c r="B33" s="8" t="s">
        <v>12</v>
      </c>
      <c r="C33" s="7">
        <v>7</v>
      </c>
      <c r="D33" s="6"/>
      <c r="E33" s="5">
        <f t="shared" si="0"/>
        <v>7</v>
      </c>
      <c r="F33" s="3">
        <v>5</v>
      </c>
      <c r="G33" s="3"/>
      <c r="H33" s="4">
        <f t="shared" si="1"/>
        <v>5</v>
      </c>
      <c r="I33" s="3">
        <v>3</v>
      </c>
      <c r="J33" s="2"/>
      <c r="K33" s="3">
        <v>5</v>
      </c>
      <c r="L33" s="2"/>
      <c r="M33" s="3"/>
      <c r="N33" s="2"/>
      <c r="O33" s="2"/>
      <c r="P33" s="2">
        <f t="shared" si="2"/>
        <v>0</v>
      </c>
    </row>
    <row r="34" spans="1:16" ht="16" x14ac:dyDescent="0.4">
      <c r="A34" s="9" t="s">
        <v>11</v>
      </c>
      <c r="B34" s="8">
        <v>59</v>
      </c>
      <c r="C34" s="7">
        <v>7</v>
      </c>
      <c r="D34" s="6"/>
      <c r="E34" s="5">
        <f t="shared" si="0"/>
        <v>7</v>
      </c>
      <c r="F34" s="3">
        <v>5</v>
      </c>
      <c r="G34" s="3">
        <v>0.5</v>
      </c>
      <c r="H34" s="4">
        <f t="shared" si="1"/>
        <v>4.5</v>
      </c>
      <c r="I34" s="3">
        <v>3</v>
      </c>
      <c r="J34" s="2"/>
      <c r="K34" s="3">
        <v>5</v>
      </c>
      <c r="L34" s="2"/>
      <c r="M34" s="3"/>
      <c r="N34" s="2"/>
      <c r="O34" s="2"/>
      <c r="P34" s="2">
        <f t="shared" si="2"/>
        <v>0.5</v>
      </c>
    </row>
    <row r="35" spans="1:16" ht="16" x14ac:dyDescent="0.4">
      <c r="A35" s="9" t="s">
        <v>10</v>
      </c>
      <c r="B35" s="8">
        <v>60</v>
      </c>
      <c r="C35" s="7">
        <v>7</v>
      </c>
      <c r="D35" s="6"/>
      <c r="E35" s="5">
        <f t="shared" si="0"/>
        <v>7</v>
      </c>
      <c r="F35" s="3">
        <v>5</v>
      </c>
      <c r="G35" s="3">
        <v>1</v>
      </c>
      <c r="H35" s="4">
        <f t="shared" si="1"/>
        <v>4</v>
      </c>
      <c r="I35" s="3">
        <v>3</v>
      </c>
      <c r="J35" s="2">
        <v>1</v>
      </c>
      <c r="K35" s="3">
        <v>5</v>
      </c>
      <c r="L35" s="2"/>
      <c r="M35" s="3"/>
      <c r="N35" s="2"/>
      <c r="O35" s="2"/>
      <c r="P35" s="2">
        <f t="shared" si="2"/>
        <v>2</v>
      </c>
    </row>
    <row r="36" spans="1:16" ht="16" x14ac:dyDescent="0.4">
      <c r="A36" s="9" t="s">
        <v>9</v>
      </c>
      <c r="B36" s="8">
        <v>61</v>
      </c>
      <c r="C36" s="7"/>
      <c r="D36" s="6"/>
      <c r="E36" s="5">
        <f t="shared" si="0"/>
        <v>0</v>
      </c>
      <c r="F36" s="3">
        <v>5</v>
      </c>
      <c r="G36" s="3"/>
      <c r="H36" s="4">
        <f t="shared" si="1"/>
        <v>5</v>
      </c>
      <c r="I36" s="3"/>
      <c r="J36" s="2"/>
      <c r="K36" s="3"/>
      <c r="L36" s="2"/>
      <c r="M36" s="3"/>
      <c r="N36" s="2"/>
      <c r="O36" s="2"/>
      <c r="P36" s="2"/>
    </row>
    <row r="37" spans="1:16" x14ac:dyDescent="0.35">
      <c r="C37" s="1"/>
      <c r="F37" s="1"/>
      <c r="G37" s="1"/>
      <c r="H37" s="1"/>
      <c r="I37" s="1"/>
      <c r="K37" s="1"/>
      <c r="M37" s="1"/>
      <c r="N37" s="1"/>
      <c r="O37" s="1"/>
    </row>
  </sheetData>
  <mergeCells count="9">
    <mergeCell ref="K3:L3"/>
    <mergeCell ref="M3:N3"/>
    <mergeCell ref="G1:H1"/>
    <mergeCell ref="I1:J1"/>
    <mergeCell ref="A3:A4"/>
    <mergeCell ref="B3:B4"/>
    <mergeCell ref="C3:E3"/>
    <mergeCell ref="F3:H3"/>
    <mergeCell ref="I3:J3"/>
  </mergeCells>
  <pageMargins left="0.5" right="0.4" top="0.75" bottom="0.75" header="0.3" footer="0.3"/>
  <pageSetup scale="6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2026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Deng</dc:creator>
  <cp:lastModifiedBy>Jessie Deng</cp:lastModifiedBy>
  <dcterms:created xsi:type="dcterms:W3CDTF">2026-02-25T00:51:48Z</dcterms:created>
  <dcterms:modified xsi:type="dcterms:W3CDTF">2026-03-02T18:40:58Z</dcterms:modified>
</cp:coreProperties>
</file>